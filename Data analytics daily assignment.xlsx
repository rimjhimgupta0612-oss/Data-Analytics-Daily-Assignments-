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5"/>
  </bookViews>
  <sheets>
    <sheet name="Sheet1" sheetId="1" r:id="rId1"/>
    <sheet name="Sheet4" sheetId="4" r:id="rId2"/>
    <sheet name="Sheet2" sheetId="2" r:id="rId3"/>
    <sheet name="Sheet3" sheetId="3" r:id="rId4"/>
    <sheet name="Sheet5" sheetId="5" r:id="rId5"/>
    <sheet name="Sheet6" sheetId="6" r:id="rId6"/>
  </sheets>
  <calcPr calcId="124519"/>
  <pivotCaches>
    <pivotCache cacheId="15" r:id="rId7"/>
  </pivotCaches>
</workbook>
</file>

<file path=xl/calcChain.xml><?xml version="1.0" encoding="utf-8"?>
<calcChain xmlns="http://schemas.openxmlformats.org/spreadsheetml/2006/main">
  <c r="F6" i="6"/>
  <c r="F5"/>
  <c r="F4"/>
  <c r="F3"/>
  <c r="F2"/>
  <c r="G6" i="5"/>
  <c r="H6" s="1"/>
  <c r="F6"/>
  <c r="F5"/>
  <c r="G5" s="1"/>
  <c r="H5" s="1"/>
  <c r="G4"/>
  <c r="H4" s="1"/>
  <c r="F4"/>
  <c r="F3"/>
  <c r="G3" s="1"/>
  <c r="H3" s="1"/>
  <c r="G2"/>
  <c r="H2" s="1"/>
  <c r="F2"/>
  <c r="H5" i="1"/>
  <c r="H6"/>
  <c r="H2"/>
  <c r="G6"/>
  <c r="G5"/>
  <c r="G2"/>
  <c r="F6"/>
  <c r="F5"/>
  <c r="F4"/>
  <c r="G4" s="1"/>
  <c r="H4" s="1"/>
  <c r="F3"/>
  <c r="G3" s="1"/>
  <c r="H3" s="1"/>
  <c r="F2"/>
</calcChain>
</file>

<file path=xl/sharedStrings.xml><?xml version="1.0" encoding="utf-8"?>
<sst xmlns="http://schemas.openxmlformats.org/spreadsheetml/2006/main" count="203" uniqueCount="47">
  <si>
    <t>Student ID</t>
  </si>
  <si>
    <t>Name</t>
  </si>
  <si>
    <t>Total Marks</t>
  </si>
  <si>
    <t>Average</t>
  </si>
  <si>
    <t>Aditi Sharma</t>
  </si>
  <si>
    <t>Rahul Verma</t>
  </si>
  <si>
    <t>Neha Singh</t>
  </si>
  <si>
    <t>Aman Gupta</t>
  </si>
  <si>
    <t>Priya Yadav</t>
  </si>
  <si>
    <t>JAVA</t>
  </si>
  <si>
    <t>PYTHON</t>
  </si>
  <si>
    <t>DSA</t>
  </si>
  <si>
    <t>PASS/FAIL</t>
  </si>
  <si>
    <t>Branch</t>
  </si>
  <si>
    <t>Marks[10th]</t>
  </si>
  <si>
    <t>Marks[12th]</t>
  </si>
  <si>
    <t>Gender</t>
  </si>
  <si>
    <t>Board[10th]</t>
  </si>
  <si>
    <t>Board[12th]</t>
  </si>
  <si>
    <t>Category</t>
  </si>
  <si>
    <t>GPA 1</t>
  </si>
  <si>
    <t>Rank</t>
  </si>
  <si>
    <t>Normalized Rank</t>
  </si>
  <si>
    <t>...</t>
  </si>
  <si>
    <t>GPA 3</t>
  </si>
  <si>
    <t>GPA 4</t>
  </si>
  <si>
    <t>GPA 5</t>
  </si>
  <si>
    <t>GPA 6</t>
  </si>
  <si>
    <t>Olympiads Qualified</t>
  </si>
  <si>
    <t>Technical Projects</t>
  </si>
  <si>
    <t>Tech Quiz</t>
  </si>
  <si>
    <t>Engg. Coaching</t>
  </si>
  <si>
    <t>NTSE Scholarships</t>
  </si>
  <si>
    <t>Miscellany Tech Events</t>
  </si>
  <si>
    <t>NaN</t>
  </si>
  <si>
    <t>CIVIL</t>
  </si>
  <si>
    <t>Male</t>
  </si>
  <si>
    <t>BSEB Patna</t>
  </si>
  <si>
    <t>OBC</t>
  </si>
  <si>
    <t>CSE</t>
  </si>
  <si>
    <t>CBSE</t>
  </si>
  <si>
    <t>GEN</t>
  </si>
  <si>
    <t>ICSE</t>
  </si>
  <si>
    <t>Female</t>
  </si>
  <si>
    <t>ST</t>
  </si>
  <si>
    <t>Row Labels</t>
  </si>
  <si>
    <t>Grand 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</si>
</sst>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9"/>
      <color rgb="FF3C4043"/>
      <name val="Inherit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center" wrapText="1" indent="2"/>
    </xf>
    <xf numFmtId="0" fontId="4" fillId="7" borderId="2" xfId="0" applyFont="1" applyFill="1" applyBorder="1" applyAlignment="1">
      <alignment horizontal="left" vertical="center" wrapText="1" indent="2"/>
    </xf>
    <xf numFmtId="0" fontId="4" fillId="2" borderId="3" xfId="0" applyFont="1" applyFill="1" applyBorder="1" applyAlignment="1">
      <alignment horizontal="left" vertical="center" wrapText="1" indent="2"/>
    </xf>
    <xf numFmtId="0" fontId="4" fillId="2" borderId="4" xfId="0" applyFont="1" applyFill="1" applyBorder="1" applyAlignment="1">
      <alignment horizontal="left" vertical="center" wrapText="1" indent="2"/>
    </xf>
    <xf numFmtId="0" fontId="4" fillId="2" borderId="5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7" borderId="6" xfId="0" applyFont="1" applyFill="1" applyBorder="1" applyAlignment="1">
      <alignment horizontal="left" vertical="center" wrapText="1" indent="2"/>
    </xf>
    <xf numFmtId="0" fontId="4" fillId="7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Alignment="1">
      <alignment horizontal="left" indent="8"/>
    </xf>
    <xf numFmtId="0" fontId="0" fillId="0" borderId="0" xfId="0" applyAlignment="1">
      <alignment horizontal="left" indent="9"/>
    </xf>
    <xf numFmtId="0" fontId="0" fillId="0" borderId="0" xfId="0" applyAlignment="1">
      <alignment horizontal="left" indent="10"/>
    </xf>
    <xf numFmtId="0" fontId="0" fillId="0" borderId="0" xfId="0" applyAlignment="1">
      <alignment horizontal="left" indent="11"/>
    </xf>
    <xf numFmtId="0" fontId="0" fillId="0" borderId="0" xfId="0" applyAlignment="1">
      <alignment horizontal="left" indent="12"/>
    </xf>
    <xf numFmtId="0" fontId="0" fillId="0" borderId="0" xfId="0" applyAlignment="1">
      <alignment horizontal="left" indent="13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Sheet3!$A$2</c:f>
              <c:strCache>
                <c:ptCount val="1"/>
                <c:pt idx="0">
                  <c:v>0</c:v>
                </c:pt>
              </c:strCache>
            </c:strRef>
          </c:tx>
          <c:cat>
            <c:strRef>
              <c:f>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cat>
          <c:val>
            <c:numRef>
              <c:f>Sheet3!$B$2:$V$2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Sheet3!$A$3</c:f>
              <c:strCache>
                <c:ptCount val="1"/>
                <c:pt idx="0">
                  <c:v>1</c:v>
                </c:pt>
              </c:strCache>
            </c:strRef>
          </c:tx>
          <c:cat>
            <c:strRef>
              <c:f>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cat>
          <c:val>
            <c:numRef>
              <c:f>Sheet3!$B$3:$V$3</c:f>
              <c:numCache>
                <c:formatCode>General</c:formatCode>
                <c:ptCount val="21"/>
                <c:pt idx="0">
                  <c:v>0</c:v>
                </c:pt>
                <c:pt idx="1">
                  <c:v>77.569999999999993</c:v>
                </c:pt>
                <c:pt idx="2">
                  <c:v>64.599999999999994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6.29</c:v>
                </c:pt>
                <c:pt idx="8">
                  <c:v>44718</c:v>
                </c:pt>
                <c:pt idx="9">
                  <c:v>15.970713999999999</c:v>
                </c:pt>
                <c:pt idx="10">
                  <c:v>0</c:v>
                </c:pt>
                <c:pt idx="11">
                  <c:v>5.94</c:v>
                </c:pt>
                <c:pt idx="12">
                  <c:v>5.41</c:v>
                </c:pt>
                <c:pt idx="13">
                  <c:v>6.25</c:v>
                </c:pt>
                <c:pt idx="14">
                  <c:v>6.13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5</c:v>
                </c:pt>
              </c:numCache>
            </c:numRef>
          </c:val>
        </c:ser>
        <c:ser>
          <c:idx val="2"/>
          <c:order val="2"/>
          <c:tx>
            <c:strRef>
              <c:f>Sheet3!$A$4</c:f>
              <c:strCache>
                <c:ptCount val="1"/>
                <c:pt idx="0">
                  <c:v>2</c:v>
                </c:pt>
              </c:strCache>
            </c:strRef>
          </c:tx>
          <c:cat>
            <c:strRef>
              <c:f>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cat>
          <c:val>
            <c:numRef>
              <c:f>Sheet3!$B$4:$V$4</c:f>
              <c:numCache>
                <c:formatCode>General</c:formatCode>
                <c:ptCount val="21"/>
                <c:pt idx="0">
                  <c:v>0</c:v>
                </c:pt>
                <c:pt idx="1">
                  <c:v>86.4</c:v>
                </c:pt>
                <c:pt idx="2">
                  <c:v>71.8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6.47</c:v>
                </c:pt>
                <c:pt idx="8">
                  <c:v>24222</c:v>
                </c:pt>
                <c:pt idx="9">
                  <c:v>8.6507140000000007</c:v>
                </c:pt>
                <c:pt idx="10">
                  <c:v>0</c:v>
                </c:pt>
                <c:pt idx="11">
                  <c:v>5.88</c:v>
                </c:pt>
                <c:pt idx="12">
                  <c:v>5.53</c:v>
                </c:pt>
                <c:pt idx="13">
                  <c:v>6.44</c:v>
                </c:pt>
                <c:pt idx="14">
                  <c:v>6.19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</c:numCache>
            </c:numRef>
          </c:val>
        </c:ser>
        <c:ser>
          <c:idx val="3"/>
          <c:order val="3"/>
          <c:tx>
            <c:strRef>
              <c:f>Sheet3!$A$5</c:f>
              <c:strCache>
                <c:ptCount val="1"/>
                <c:pt idx="0">
                  <c:v>3</c:v>
                </c:pt>
              </c:strCache>
            </c:strRef>
          </c:tx>
          <c:cat>
            <c:strRef>
              <c:f>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cat>
          <c:val>
            <c:numRef>
              <c:f>Sheet3!$B$5:$V$5</c:f>
              <c:numCache>
                <c:formatCode>General</c:formatCode>
                <c:ptCount val="21"/>
                <c:pt idx="0">
                  <c:v>0</c:v>
                </c:pt>
                <c:pt idx="1">
                  <c:v>88.14</c:v>
                </c:pt>
                <c:pt idx="2">
                  <c:v>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7.35</c:v>
                </c:pt>
                <c:pt idx="8">
                  <c:v>24723</c:v>
                </c:pt>
                <c:pt idx="9">
                  <c:v>8.8296430000000008</c:v>
                </c:pt>
                <c:pt idx="10">
                  <c:v>0</c:v>
                </c:pt>
                <c:pt idx="11">
                  <c:v>6.54</c:v>
                </c:pt>
                <c:pt idx="12">
                  <c:v>6.41</c:v>
                </c:pt>
                <c:pt idx="13">
                  <c:v>6.5</c:v>
                </c:pt>
                <c:pt idx="14">
                  <c:v>6.69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Sheet3!$A$6</c:f>
              <c:strCache>
                <c:ptCount val="1"/>
                <c:pt idx="0">
                  <c:v>4</c:v>
                </c:pt>
              </c:strCache>
            </c:strRef>
          </c:tx>
          <c:cat>
            <c:strRef>
              <c:f>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cat>
          <c:val>
            <c:numRef>
              <c:f>Sheet3!$B$6:$V$6</c:f>
              <c:numCache>
                <c:formatCode>General</c:formatCode>
                <c:ptCount val="21"/>
                <c:pt idx="0">
                  <c:v>0</c:v>
                </c:pt>
                <c:pt idx="1">
                  <c:v>65.400000000000006</c:v>
                </c:pt>
                <c:pt idx="2">
                  <c:v>59.8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6.41</c:v>
                </c:pt>
                <c:pt idx="8">
                  <c:v>232157</c:v>
                </c:pt>
                <c:pt idx="9">
                  <c:v>82.913213999999996</c:v>
                </c:pt>
                <c:pt idx="10">
                  <c:v>0</c:v>
                </c:pt>
                <c:pt idx="11">
                  <c:v>5.71</c:v>
                </c:pt>
                <c:pt idx="12">
                  <c:v>5.24</c:v>
                </c:pt>
                <c:pt idx="13">
                  <c:v>5.88</c:v>
                </c:pt>
                <c:pt idx="14">
                  <c:v>6.25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</c:ser>
        <c:shape val="box"/>
        <c:axId val="91873280"/>
        <c:axId val="91874816"/>
        <c:axId val="0"/>
      </c:bar3DChart>
      <c:catAx>
        <c:axId val="91873280"/>
        <c:scaling>
          <c:orientation val="minMax"/>
        </c:scaling>
        <c:axPos val="b"/>
        <c:tickLblPos val="nextTo"/>
        <c:crossAx val="91874816"/>
        <c:crosses val="autoZero"/>
        <c:auto val="1"/>
        <c:lblAlgn val="ctr"/>
        <c:lblOffset val="100"/>
      </c:catAx>
      <c:valAx>
        <c:axId val="91874816"/>
        <c:scaling>
          <c:orientation val="minMax"/>
        </c:scaling>
        <c:axPos val="l"/>
        <c:majorGridlines/>
        <c:numFmt formatCode="General" sourceLinked="1"/>
        <c:tickLblPos val="nextTo"/>
        <c:crossAx val="918732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2633125893056948"/>
          <c:y val="7.4976389084424416E-2"/>
          <c:w val="0.7378655275011472"/>
          <c:h val="0.79706748029001828"/>
        </c:manualLayout>
      </c:layout>
      <c:scatterChart>
        <c:scatterStyle val="lineMarker"/>
        <c:ser>
          <c:idx val="0"/>
          <c:order val="0"/>
          <c:tx>
            <c:strRef>
              <c:f>Sheet3!$A$2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xVal>
            <c:strRef>
              <c:f>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xVal>
          <c:yVal>
            <c:numRef>
              <c:f>Sheet3!$B$2:$V$2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</c:ser>
        <c:ser>
          <c:idx val="1"/>
          <c:order val="1"/>
          <c:tx>
            <c:strRef>
              <c:f>Sheet3!$A$3</c:f>
              <c:strCache>
                <c:ptCount val="1"/>
                <c:pt idx="0">
                  <c:v>1</c:v>
                </c:pt>
              </c:strCache>
            </c:strRef>
          </c:tx>
          <c:spPr>
            <a:ln w="28575">
              <a:noFill/>
            </a:ln>
          </c:spPr>
          <c:xVal>
            <c:strRef>
              <c:f>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xVal>
          <c:yVal>
            <c:numRef>
              <c:f>Sheet3!$B$3:$V$3</c:f>
              <c:numCache>
                <c:formatCode>General</c:formatCode>
                <c:ptCount val="21"/>
                <c:pt idx="0">
                  <c:v>0</c:v>
                </c:pt>
                <c:pt idx="1">
                  <c:v>77.569999999999993</c:v>
                </c:pt>
                <c:pt idx="2">
                  <c:v>64.599999999999994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6.29</c:v>
                </c:pt>
                <c:pt idx="8">
                  <c:v>44718</c:v>
                </c:pt>
                <c:pt idx="9">
                  <c:v>15.970713999999999</c:v>
                </c:pt>
                <c:pt idx="10">
                  <c:v>0</c:v>
                </c:pt>
                <c:pt idx="11">
                  <c:v>5.94</c:v>
                </c:pt>
                <c:pt idx="12">
                  <c:v>5.41</c:v>
                </c:pt>
                <c:pt idx="13">
                  <c:v>6.25</c:v>
                </c:pt>
                <c:pt idx="14">
                  <c:v>6.13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5</c:v>
                </c:pt>
              </c:numCache>
            </c:numRef>
          </c:yVal>
        </c:ser>
        <c:ser>
          <c:idx val="2"/>
          <c:order val="2"/>
          <c:tx>
            <c:strRef>
              <c:f>Sheet3!$A$4</c:f>
              <c:strCache>
                <c:ptCount val="1"/>
                <c:pt idx="0">
                  <c:v>2</c:v>
                </c:pt>
              </c:strCache>
            </c:strRef>
          </c:tx>
          <c:spPr>
            <a:ln w="28575">
              <a:noFill/>
            </a:ln>
          </c:spPr>
          <c:xVal>
            <c:strRef>
              <c:f>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xVal>
          <c:yVal>
            <c:numRef>
              <c:f>Sheet3!$B$4:$V$4</c:f>
              <c:numCache>
                <c:formatCode>General</c:formatCode>
                <c:ptCount val="21"/>
                <c:pt idx="0">
                  <c:v>0</c:v>
                </c:pt>
                <c:pt idx="1">
                  <c:v>86.4</c:v>
                </c:pt>
                <c:pt idx="2">
                  <c:v>71.8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6.47</c:v>
                </c:pt>
                <c:pt idx="8">
                  <c:v>24222</c:v>
                </c:pt>
                <c:pt idx="9">
                  <c:v>8.6507140000000007</c:v>
                </c:pt>
                <c:pt idx="10">
                  <c:v>0</c:v>
                </c:pt>
                <c:pt idx="11">
                  <c:v>5.88</c:v>
                </c:pt>
                <c:pt idx="12">
                  <c:v>5.53</c:v>
                </c:pt>
                <c:pt idx="13">
                  <c:v>6.44</c:v>
                </c:pt>
                <c:pt idx="14">
                  <c:v>6.19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</c:numCache>
            </c:numRef>
          </c:yVal>
        </c:ser>
        <c:ser>
          <c:idx val="3"/>
          <c:order val="3"/>
          <c:tx>
            <c:strRef>
              <c:f>Sheet3!$A$5</c:f>
              <c:strCache>
                <c:ptCount val="1"/>
                <c:pt idx="0">
                  <c:v>3</c:v>
                </c:pt>
              </c:strCache>
            </c:strRef>
          </c:tx>
          <c:spPr>
            <a:ln w="28575">
              <a:noFill/>
            </a:ln>
          </c:spPr>
          <c:xVal>
            <c:strRef>
              <c:f>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xVal>
          <c:yVal>
            <c:numRef>
              <c:f>Sheet3!$B$5:$V$5</c:f>
              <c:numCache>
                <c:formatCode>General</c:formatCode>
                <c:ptCount val="21"/>
                <c:pt idx="0">
                  <c:v>0</c:v>
                </c:pt>
                <c:pt idx="1">
                  <c:v>88.14</c:v>
                </c:pt>
                <c:pt idx="2">
                  <c:v>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7.35</c:v>
                </c:pt>
                <c:pt idx="8">
                  <c:v>24723</c:v>
                </c:pt>
                <c:pt idx="9">
                  <c:v>8.8296430000000008</c:v>
                </c:pt>
                <c:pt idx="10">
                  <c:v>0</c:v>
                </c:pt>
                <c:pt idx="11">
                  <c:v>6.54</c:v>
                </c:pt>
                <c:pt idx="12">
                  <c:v>6.41</c:v>
                </c:pt>
                <c:pt idx="13">
                  <c:v>6.5</c:v>
                </c:pt>
                <c:pt idx="14">
                  <c:v>6.69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5</c:v>
                </c:pt>
              </c:numCache>
            </c:numRef>
          </c:yVal>
        </c:ser>
        <c:ser>
          <c:idx val="4"/>
          <c:order val="4"/>
          <c:tx>
            <c:strRef>
              <c:f>Sheet3!$A$6</c:f>
              <c:strCache>
                <c:ptCount val="1"/>
                <c:pt idx="0">
                  <c:v>4</c:v>
                </c:pt>
              </c:strCache>
            </c:strRef>
          </c:tx>
          <c:spPr>
            <a:ln w="28575">
              <a:noFill/>
            </a:ln>
          </c:spPr>
          <c:xVal>
            <c:strRef>
              <c:f>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xVal>
          <c:yVal>
            <c:numRef>
              <c:f>Sheet3!$B$6:$V$6</c:f>
              <c:numCache>
                <c:formatCode>General</c:formatCode>
                <c:ptCount val="21"/>
                <c:pt idx="0">
                  <c:v>0</c:v>
                </c:pt>
                <c:pt idx="1">
                  <c:v>65.400000000000006</c:v>
                </c:pt>
                <c:pt idx="2">
                  <c:v>59.8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6.41</c:v>
                </c:pt>
                <c:pt idx="8">
                  <c:v>232157</c:v>
                </c:pt>
                <c:pt idx="9">
                  <c:v>82.913213999999996</c:v>
                </c:pt>
                <c:pt idx="10">
                  <c:v>0</c:v>
                </c:pt>
                <c:pt idx="11">
                  <c:v>5.71</c:v>
                </c:pt>
                <c:pt idx="12">
                  <c:v>5.24</c:v>
                </c:pt>
                <c:pt idx="13">
                  <c:v>5.88</c:v>
                </c:pt>
                <c:pt idx="14">
                  <c:v>6.25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</c:numCache>
            </c:numRef>
          </c:yVal>
        </c:ser>
        <c:axId val="116192384"/>
        <c:axId val="116166016"/>
      </c:scatterChart>
      <c:valAx>
        <c:axId val="116192384"/>
        <c:scaling>
          <c:orientation val="minMax"/>
        </c:scaling>
        <c:axPos val="b"/>
        <c:tickLblPos val="nextTo"/>
        <c:crossAx val="116166016"/>
        <c:crosses val="autoZero"/>
        <c:crossBetween val="midCat"/>
      </c:valAx>
      <c:valAx>
        <c:axId val="116166016"/>
        <c:scaling>
          <c:orientation val="minMax"/>
        </c:scaling>
        <c:axPos val="l"/>
        <c:majorGridlines/>
        <c:numFmt formatCode="General" sourceLinked="1"/>
        <c:tickLblPos val="nextTo"/>
        <c:crossAx val="1161923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chart>
    <c:title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Sheet5!$A$6:$G$6</c:f>
              <c:strCache>
                <c:ptCount val="1"/>
                <c:pt idx="0">
                  <c:v>105 Priya Yadav 80 75 85 240 120</c:v>
                </c:pt>
              </c:strCache>
            </c:strRef>
          </c:tx>
          <c:cat>
            <c:strRef>
              <c:f>Sheet5!$H$1:$H$5</c:f>
              <c:strCache>
                <c:ptCount val="5"/>
                <c:pt idx="0">
                  <c:v>PASS/FAIL</c:v>
                </c:pt>
                <c:pt idx="1">
                  <c:v>Pass</c:v>
                </c:pt>
                <c:pt idx="2">
                  <c:v>Fail</c:v>
                </c:pt>
                <c:pt idx="3">
                  <c:v>Fail</c:v>
                </c:pt>
                <c:pt idx="4">
                  <c:v>Pass</c:v>
                </c:pt>
              </c:strCache>
            </c:strRef>
          </c:cat>
          <c:val>
            <c:numRef>
              <c:f>Sheet5!$H$6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hape val="box"/>
        <c:axId val="143282560"/>
        <c:axId val="116298112"/>
        <c:axId val="0"/>
      </c:bar3DChart>
      <c:catAx>
        <c:axId val="143282560"/>
        <c:scaling>
          <c:orientation val="minMax"/>
        </c:scaling>
        <c:axPos val="b"/>
        <c:tickLblPos val="nextTo"/>
        <c:crossAx val="116298112"/>
        <c:crosses val="autoZero"/>
        <c:auto val="1"/>
        <c:lblAlgn val="ctr"/>
        <c:lblOffset val="100"/>
      </c:catAx>
      <c:valAx>
        <c:axId val="116298112"/>
        <c:scaling>
          <c:orientation val="minMax"/>
        </c:scaling>
        <c:axPos val="l"/>
        <c:majorGridlines/>
        <c:numFmt formatCode="General" sourceLinked="1"/>
        <c:tickLblPos val="nextTo"/>
        <c:crossAx val="1432825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Sheet5!$A$6:$G$6</c:f>
              <c:strCache>
                <c:ptCount val="1"/>
                <c:pt idx="0">
                  <c:v>105 Priya Yadav 80 75 85 240 120</c:v>
                </c:pt>
              </c:strCache>
            </c:strRef>
          </c:tx>
          <c:cat>
            <c:strRef>
              <c:f>Sheet5!$H$1:$H$5</c:f>
              <c:strCache>
                <c:ptCount val="5"/>
                <c:pt idx="0">
                  <c:v>PASS/FAIL</c:v>
                </c:pt>
                <c:pt idx="1">
                  <c:v>Pass</c:v>
                </c:pt>
                <c:pt idx="2">
                  <c:v>Fail</c:v>
                </c:pt>
                <c:pt idx="3">
                  <c:v>Fail</c:v>
                </c:pt>
                <c:pt idx="4">
                  <c:v>Pass</c:v>
                </c:pt>
              </c:strCache>
            </c:strRef>
          </c:cat>
          <c:val>
            <c:numRef>
              <c:f>Sheet5!$H$6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130793472"/>
        <c:axId val="130795008"/>
      </c:barChart>
      <c:catAx>
        <c:axId val="130793472"/>
        <c:scaling>
          <c:orientation val="minMax"/>
        </c:scaling>
        <c:axPos val="l"/>
        <c:tickLblPos val="nextTo"/>
        <c:crossAx val="130795008"/>
        <c:crosses val="autoZero"/>
        <c:auto val="1"/>
        <c:lblAlgn val="ctr"/>
        <c:lblOffset val="100"/>
      </c:catAx>
      <c:valAx>
        <c:axId val="130795008"/>
        <c:scaling>
          <c:orientation val="minMax"/>
        </c:scaling>
        <c:axPos val="b"/>
        <c:majorGridlines/>
        <c:numFmt formatCode="General" sourceLinked="1"/>
        <c:tickLblPos val="nextTo"/>
        <c:crossAx val="1307934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Sheet5!$A$6:$G$6</c:f>
              <c:strCache>
                <c:ptCount val="1"/>
                <c:pt idx="0">
                  <c:v>105 Priya Yadav 80 75 85 240 120</c:v>
                </c:pt>
              </c:strCache>
            </c:strRef>
          </c:tx>
          <c:spPr>
            <a:ln w="28575">
              <a:noFill/>
            </a:ln>
          </c:spPr>
          <c:xVal>
            <c:strRef>
              <c:f>Sheet5!$H$1:$H$5</c:f>
              <c:strCache>
                <c:ptCount val="5"/>
                <c:pt idx="0">
                  <c:v>PASS/FAIL</c:v>
                </c:pt>
                <c:pt idx="1">
                  <c:v>Pass</c:v>
                </c:pt>
                <c:pt idx="2">
                  <c:v>Fail</c:v>
                </c:pt>
                <c:pt idx="3">
                  <c:v>Fail</c:v>
                </c:pt>
                <c:pt idx="4">
                  <c:v>Pass</c:v>
                </c:pt>
              </c:strCache>
            </c:strRef>
          </c:xVal>
          <c:yVal>
            <c:numRef>
              <c:f>Sheet5!$H$6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axId val="166794752"/>
        <c:axId val="143710080"/>
      </c:scatterChart>
      <c:valAx>
        <c:axId val="166794752"/>
        <c:scaling>
          <c:orientation val="minMax"/>
        </c:scaling>
        <c:axPos val="b"/>
        <c:tickLblPos val="nextTo"/>
        <c:crossAx val="143710080"/>
        <c:crosses val="autoZero"/>
        <c:crossBetween val="midCat"/>
      </c:valAx>
      <c:valAx>
        <c:axId val="143710080"/>
        <c:scaling>
          <c:orientation val="minMax"/>
        </c:scaling>
        <c:axPos val="l"/>
        <c:majorGridlines/>
        <c:numFmt formatCode="General" sourceLinked="1"/>
        <c:tickLblPos val="nextTo"/>
        <c:crossAx val="16679475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percentStacked"/>
        <c:ser>
          <c:idx val="0"/>
          <c:order val="0"/>
          <c:tx>
            <c:strRef>
              <c:f>Sheet6!$C$1</c:f>
              <c:strCache>
                <c:ptCount val="1"/>
                <c:pt idx="0">
                  <c:v>DSA</c:v>
                </c:pt>
              </c:strCache>
            </c:strRef>
          </c:tx>
          <c:cat>
            <c:multiLvlStrRef>
              <c:f>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Sheet6!$C$2:$C$6</c:f>
              <c:numCache>
                <c:formatCode>General</c:formatCode>
                <c:ptCount val="5"/>
                <c:pt idx="0">
                  <c:v>78</c:v>
                </c:pt>
                <c:pt idx="1">
                  <c:v>20</c:v>
                </c:pt>
                <c:pt idx="2">
                  <c:v>7</c:v>
                </c:pt>
                <c:pt idx="3">
                  <c:v>55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tx>
            <c:strRef>
              <c:f>Sheet6!$D$1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Sheet6!$D$2:$D$6</c:f>
              <c:numCache>
                <c:formatCode>General</c:formatCode>
                <c:ptCount val="5"/>
                <c:pt idx="0">
                  <c:v>85</c:v>
                </c:pt>
                <c:pt idx="1">
                  <c:v>14</c:v>
                </c:pt>
                <c:pt idx="2">
                  <c:v>3</c:v>
                </c:pt>
                <c:pt idx="3">
                  <c:v>60</c:v>
                </c:pt>
                <c:pt idx="4">
                  <c:v>75</c:v>
                </c:pt>
              </c:numCache>
            </c:numRef>
          </c:val>
        </c:ser>
        <c:ser>
          <c:idx val="2"/>
          <c:order val="2"/>
          <c:tx>
            <c:strRef>
              <c:f>Sheet6!$E$1</c:f>
              <c:strCache>
                <c:ptCount val="1"/>
                <c:pt idx="0">
                  <c:v>JAVA</c:v>
                </c:pt>
              </c:strCache>
            </c:strRef>
          </c:tx>
          <c:cat>
            <c:multiLvlStrRef>
              <c:f>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Sheet6!$E$2:$E$6</c:f>
              <c:numCache>
                <c:formatCode>General</c:formatCode>
                <c:ptCount val="5"/>
                <c:pt idx="0">
                  <c:v>90</c:v>
                </c:pt>
                <c:pt idx="1">
                  <c:v>22</c:v>
                </c:pt>
                <c:pt idx="2">
                  <c:v>5</c:v>
                </c:pt>
                <c:pt idx="3">
                  <c:v>58</c:v>
                </c:pt>
                <c:pt idx="4">
                  <c:v>85</c:v>
                </c:pt>
              </c:numCache>
            </c:numRef>
          </c:val>
        </c:ser>
        <c:ser>
          <c:idx val="3"/>
          <c:order val="3"/>
          <c:tx>
            <c:strRef>
              <c:f>Sheet6!$F$1</c:f>
              <c:strCache>
                <c:ptCount val="1"/>
                <c:pt idx="0">
                  <c:v>Total Marks</c:v>
                </c:pt>
              </c:strCache>
            </c:strRef>
          </c:tx>
          <c:cat>
            <c:multiLvlStrRef>
              <c:f>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Sheet6!$F$2:$F$6</c:f>
              <c:numCache>
                <c:formatCode>General</c:formatCode>
                <c:ptCount val="5"/>
                <c:pt idx="0">
                  <c:v>253</c:v>
                </c:pt>
                <c:pt idx="1">
                  <c:v>56</c:v>
                </c:pt>
                <c:pt idx="2">
                  <c:v>15</c:v>
                </c:pt>
                <c:pt idx="3">
                  <c:v>173</c:v>
                </c:pt>
                <c:pt idx="4">
                  <c:v>240</c:v>
                </c:pt>
              </c:numCache>
            </c:numRef>
          </c:val>
        </c:ser>
        <c:overlap val="100"/>
        <c:axId val="131144704"/>
        <c:axId val="133641344"/>
      </c:barChart>
      <c:catAx>
        <c:axId val="131144704"/>
        <c:scaling>
          <c:orientation val="minMax"/>
        </c:scaling>
        <c:axPos val="l"/>
        <c:tickLblPos val="nextTo"/>
        <c:crossAx val="133641344"/>
        <c:crosses val="autoZero"/>
        <c:auto val="1"/>
        <c:lblAlgn val="ctr"/>
        <c:lblOffset val="100"/>
      </c:catAx>
      <c:valAx>
        <c:axId val="133641344"/>
        <c:scaling>
          <c:orientation val="minMax"/>
        </c:scaling>
        <c:axPos val="b"/>
        <c:majorGridlines/>
        <c:numFmt formatCode="0%" sourceLinked="1"/>
        <c:tickLblPos val="nextTo"/>
        <c:crossAx val="1311447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Sheet6!$C$1</c:f>
              <c:strCache>
                <c:ptCount val="1"/>
                <c:pt idx="0">
                  <c:v>DSA</c:v>
                </c:pt>
              </c:strCache>
            </c:strRef>
          </c:tx>
          <c:explosion val="25"/>
          <c:cat>
            <c:multiLvlStrRef>
              <c:f>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Sheet6!$C$2:$C$6</c:f>
              <c:numCache>
                <c:formatCode>General</c:formatCode>
                <c:ptCount val="5"/>
                <c:pt idx="0">
                  <c:v>78</c:v>
                </c:pt>
                <c:pt idx="1">
                  <c:v>20</c:v>
                </c:pt>
                <c:pt idx="2">
                  <c:v>7</c:v>
                </c:pt>
                <c:pt idx="3">
                  <c:v>55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tx>
            <c:strRef>
              <c:f>Sheet6!$D$1</c:f>
              <c:strCache>
                <c:ptCount val="1"/>
                <c:pt idx="0">
                  <c:v>PYTHON</c:v>
                </c:pt>
              </c:strCache>
            </c:strRef>
          </c:tx>
          <c:explosion val="25"/>
          <c:cat>
            <c:multiLvlStrRef>
              <c:f>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Sheet6!$D$2:$D$6</c:f>
              <c:numCache>
                <c:formatCode>General</c:formatCode>
                <c:ptCount val="5"/>
                <c:pt idx="0">
                  <c:v>85</c:v>
                </c:pt>
                <c:pt idx="1">
                  <c:v>14</c:v>
                </c:pt>
                <c:pt idx="2">
                  <c:v>3</c:v>
                </c:pt>
                <c:pt idx="3">
                  <c:v>60</c:v>
                </c:pt>
                <c:pt idx="4">
                  <c:v>75</c:v>
                </c:pt>
              </c:numCache>
            </c:numRef>
          </c:val>
        </c:ser>
        <c:ser>
          <c:idx val="2"/>
          <c:order val="2"/>
          <c:tx>
            <c:strRef>
              <c:f>Sheet6!$E$1</c:f>
              <c:strCache>
                <c:ptCount val="1"/>
                <c:pt idx="0">
                  <c:v>JAVA</c:v>
                </c:pt>
              </c:strCache>
            </c:strRef>
          </c:tx>
          <c:explosion val="25"/>
          <c:cat>
            <c:multiLvlStrRef>
              <c:f>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Sheet6!$E$2:$E$6</c:f>
              <c:numCache>
                <c:formatCode>General</c:formatCode>
                <c:ptCount val="5"/>
                <c:pt idx="0">
                  <c:v>90</c:v>
                </c:pt>
                <c:pt idx="1">
                  <c:v>22</c:v>
                </c:pt>
                <c:pt idx="2">
                  <c:v>5</c:v>
                </c:pt>
                <c:pt idx="3">
                  <c:v>58</c:v>
                </c:pt>
                <c:pt idx="4">
                  <c:v>85</c:v>
                </c:pt>
              </c:numCache>
            </c:numRef>
          </c:val>
        </c:ser>
        <c:ser>
          <c:idx val="3"/>
          <c:order val="3"/>
          <c:tx>
            <c:strRef>
              <c:f>Sheet6!$F$1</c:f>
              <c:strCache>
                <c:ptCount val="1"/>
                <c:pt idx="0">
                  <c:v>Total Marks</c:v>
                </c:pt>
              </c:strCache>
            </c:strRef>
          </c:tx>
          <c:explosion val="25"/>
          <c:cat>
            <c:multiLvlStrRef>
              <c:f>Sheet6!$A$2:$B$6</c:f>
              <c:multiLvlStrCache>
                <c:ptCount val="5"/>
                <c:lvl>
                  <c:pt idx="0">
                    <c:v>Aditi Sharma</c:v>
                  </c:pt>
                  <c:pt idx="1">
                    <c:v>Rahul Verma</c:v>
                  </c:pt>
                  <c:pt idx="2">
                    <c:v>Neha Singh</c:v>
                  </c:pt>
                  <c:pt idx="3">
                    <c:v>Aman Gupta</c:v>
                  </c:pt>
                  <c:pt idx="4">
                    <c:v>Priya Yadav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Sheet6!$F$2:$F$6</c:f>
              <c:numCache>
                <c:formatCode>General</c:formatCode>
                <c:ptCount val="5"/>
                <c:pt idx="0">
                  <c:v>253</c:v>
                </c:pt>
                <c:pt idx="1">
                  <c:v>56</c:v>
                </c:pt>
                <c:pt idx="2">
                  <c:v>15</c:v>
                </c:pt>
                <c:pt idx="3">
                  <c:v>173</c:v>
                </c:pt>
                <c:pt idx="4">
                  <c:v>240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577622</xdr:colOff>
      <xdr:row>10</xdr:row>
      <xdr:rowOff>186418</xdr:rowOff>
    </xdr:from>
    <xdr:to>
      <xdr:col>23</xdr:col>
      <xdr:colOff>272822</xdr:colOff>
      <xdr:row>25</xdr:row>
      <xdr:rowOff>76880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455157</xdr:colOff>
      <xdr:row>11</xdr:row>
      <xdr:rowOff>29935</xdr:rowOff>
    </xdr:from>
    <xdr:to>
      <xdr:col>12</xdr:col>
      <xdr:colOff>150358</xdr:colOff>
      <xdr:row>25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312593</xdr:colOff>
      <xdr:row>12</xdr:row>
      <xdr:rowOff>144607</xdr:rowOff>
    </xdr:from>
    <xdr:to>
      <xdr:col>29</xdr:col>
      <xdr:colOff>7793</xdr:colOff>
      <xdr:row>27</xdr:row>
      <xdr:rowOff>30307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582757</xdr:colOff>
      <xdr:row>0</xdr:row>
      <xdr:rowOff>171450</xdr:rowOff>
    </xdr:from>
    <xdr:to>
      <xdr:col>29</xdr:col>
      <xdr:colOff>281420</xdr:colOff>
      <xdr:row>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451138</xdr:colOff>
      <xdr:row>6</xdr:row>
      <xdr:rowOff>170584</xdr:rowOff>
    </xdr:from>
    <xdr:to>
      <xdr:col>37</xdr:col>
      <xdr:colOff>149803</xdr:colOff>
      <xdr:row>21</xdr:row>
      <xdr:rowOff>56284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2</xdr:row>
      <xdr:rowOff>352425</xdr:rowOff>
    </xdr:from>
    <xdr:to>
      <xdr:col>14</xdr:col>
      <xdr:colOff>180975</xdr:colOff>
      <xdr:row>14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311728</xdr:colOff>
      <xdr:row>10</xdr:row>
      <xdr:rowOff>103909</xdr:rowOff>
    </xdr:from>
    <xdr:to>
      <xdr:col>23</xdr:col>
      <xdr:colOff>34637</xdr:colOff>
      <xdr:row>24</xdr:row>
      <xdr:rowOff>173182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KING" refreshedDate="46286.795858449077" createdVersion="3" refreshedVersion="3" minRefreshableVersion="3" recordCount="5">
  <cacheSource type="worksheet">
    <worksheetSource ref="B1:V6" sheet="Sheet2"/>
  </cacheSource>
  <cacheFields count="21">
    <cacheField name="Branch" numFmtId="0">
      <sharedItems count="3">
        <s v="NaN"/>
        <s v="CIVIL"/>
        <s v="CSE"/>
      </sharedItems>
    </cacheField>
    <cacheField name="Marks[10th]" numFmtId="0">
      <sharedItems containsMixedTypes="1" containsNumber="1" minValue="65.400000000000006" maxValue="88.14" count="5">
        <s v="NaN"/>
        <n v="77.569999999999993"/>
        <n v="86.4"/>
        <n v="88.14"/>
        <n v="65.400000000000006"/>
      </sharedItems>
    </cacheField>
    <cacheField name="Marks[12th]" numFmtId="0">
      <sharedItems containsMixedTypes="1" containsNumber="1" minValue="59.8" maxValue="78" count="5">
        <s v="NaN"/>
        <n v="64.599999999999994"/>
        <n v="71.8"/>
        <n v="78"/>
        <n v="59.8"/>
      </sharedItems>
    </cacheField>
    <cacheField name="Gender" numFmtId="0">
      <sharedItems count="3">
        <s v="NaN"/>
        <s v="Male"/>
        <s v="Female"/>
      </sharedItems>
    </cacheField>
    <cacheField name="Board[10th]" numFmtId="0">
      <sharedItems count="4">
        <s v="NaN"/>
        <s v="BSEB Patna"/>
        <s v="CBSE"/>
        <s v="ICSE"/>
      </sharedItems>
    </cacheField>
    <cacheField name="Board[12th]" numFmtId="0">
      <sharedItems count="4">
        <s v="NaN"/>
        <s v="BSEB Patna"/>
        <s v="CBSE"/>
        <s v="ICSE"/>
      </sharedItems>
    </cacheField>
    <cacheField name="Category" numFmtId="0">
      <sharedItems count="4">
        <s v="NaN"/>
        <s v="OBC"/>
        <s v="GEN"/>
        <s v="ST"/>
      </sharedItems>
    </cacheField>
    <cacheField name="GPA 1" numFmtId="0">
      <sharedItems containsMixedTypes="1" containsNumber="1" minValue="6.29" maxValue="7.35" count="5">
        <s v="NaN"/>
        <n v="6.29"/>
        <n v="6.47"/>
        <n v="7.35"/>
        <n v="6.41"/>
      </sharedItems>
    </cacheField>
    <cacheField name="Rank" numFmtId="0">
      <sharedItems containsMixedTypes="1" containsNumber="1" containsInteger="1" minValue="24222" maxValue="232157" count="5">
        <s v="NaN"/>
        <n v="44718"/>
        <n v="24222"/>
        <n v="24723"/>
        <n v="232157"/>
      </sharedItems>
    </cacheField>
    <cacheField name="Normalized Rank" numFmtId="0">
      <sharedItems containsMixedTypes="1" containsNumber="1" minValue="8.6507140000000007" maxValue="82.913213999999996"/>
    </cacheField>
    <cacheField name="..." numFmtId="0">
      <sharedItems/>
    </cacheField>
    <cacheField name="GPA 3" numFmtId="0">
      <sharedItems containsMixedTypes="1" containsNumber="1" minValue="5.71" maxValue="6.54" count="5">
        <s v="NaN"/>
        <n v="5.94"/>
        <n v="5.88"/>
        <n v="6.54"/>
        <n v="5.71"/>
      </sharedItems>
    </cacheField>
    <cacheField name="GPA 4" numFmtId="0">
      <sharedItems containsMixedTypes="1" containsNumber="1" minValue="5.24" maxValue="6.41" count="5">
        <s v="NaN"/>
        <n v="5.41"/>
        <n v="5.53"/>
        <n v="6.41"/>
        <n v="5.24"/>
      </sharedItems>
    </cacheField>
    <cacheField name="GPA 5" numFmtId="0">
      <sharedItems containsMixedTypes="1" containsNumber="1" minValue="5.88" maxValue="6.5" count="5">
        <s v="NaN"/>
        <n v="6.25"/>
        <n v="6.44"/>
        <n v="6.5"/>
        <n v="5.88"/>
      </sharedItems>
    </cacheField>
    <cacheField name="GPA 6" numFmtId="0">
      <sharedItems containsMixedTypes="1" containsNumber="1" minValue="6.13" maxValue="6.69" count="5">
        <s v="NaN"/>
        <n v="6.13"/>
        <n v="6.19"/>
        <n v="6.69"/>
        <n v="6.25"/>
      </sharedItems>
    </cacheField>
    <cacheField name="Olympiads Qualified" numFmtId="0">
      <sharedItems containsMixedTypes="1" containsNumber="1" containsInteger="1" minValue="1" maxValue="2"/>
    </cacheField>
    <cacheField name="Technical Projects" numFmtId="0">
      <sharedItems containsMixedTypes="1" containsNumber="1" containsInteger="1" minValue="0" maxValue="4"/>
    </cacheField>
    <cacheField name="Tech Quiz" numFmtId="0">
      <sharedItems containsMixedTypes="1" containsNumber="1" containsInteger="1" minValue="0" maxValue="3"/>
    </cacheField>
    <cacheField name="Engg. Coaching" numFmtId="0">
      <sharedItems containsMixedTypes="1" containsNumber="1" containsInteger="1" minValue="0" maxValue="2"/>
    </cacheField>
    <cacheField name="NTSE Scholarships" numFmtId="0">
      <sharedItems containsMixedTypes="1" containsNumber="1" containsInteger="1" minValue="0" maxValue="0" count="2">
        <s v="NaN"/>
        <n v="0"/>
      </sharedItems>
    </cacheField>
    <cacheField name="Miscellany Tech Events" numFmtId="0">
      <sharedItems containsMixedTypes="1" containsNumber="1" containsInteger="1" minValue="1" maxValue="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  <x v="0"/>
    <x v="0"/>
    <x v="0"/>
    <x v="0"/>
    <s v="NaN"/>
    <s v="..."/>
    <x v="0"/>
    <x v="0"/>
    <x v="0"/>
    <x v="0"/>
    <s v="NaN"/>
    <s v="NaN"/>
    <s v="NaN"/>
    <s v="NaN"/>
    <x v="0"/>
    <s v="NaN"/>
  </r>
  <r>
    <x v="1"/>
    <x v="1"/>
    <x v="1"/>
    <x v="1"/>
    <x v="1"/>
    <x v="1"/>
    <x v="1"/>
    <x v="1"/>
    <x v="1"/>
    <n v="15.970713999999999"/>
    <s v="..."/>
    <x v="1"/>
    <x v="1"/>
    <x v="1"/>
    <x v="1"/>
    <n v="1"/>
    <n v="4"/>
    <n v="3"/>
    <n v="2"/>
    <x v="1"/>
    <n v="5"/>
  </r>
  <r>
    <x v="2"/>
    <x v="2"/>
    <x v="2"/>
    <x v="1"/>
    <x v="2"/>
    <x v="2"/>
    <x v="2"/>
    <x v="2"/>
    <x v="2"/>
    <n v="8.6507140000000007"/>
    <s v="..."/>
    <x v="2"/>
    <x v="2"/>
    <x v="2"/>
    <x v="2"/>
    <n v="2"/>
    <n v="2"/>
    <n v="0"/>
    <n v="1"/>
    <x v="1"/>
    <n v="4"/>
  </r>
  <r>
    <x v="2"/>
    <x v="3"/>
    <x v="3"/>
    <x v="1"/>
    <x v="3"/>
    <x v="3"/>
    <x v="2"/>
    <x v="3"/>
    <x v="3"/>
    <n v="8.8296430000000008"/>
    <s v="..."/>
    <x v="3"/>
    <x v="3"/>
    <x v="3"/>
    <x v="3"/>
    <n v="1"/>
    <n v="1"/>
    <n v="3"/>
    <n v="0"/>
    <x v="1"/>
    <n v="5"/>
  </r>
  <r>
    <x v="2"/>
    <x v="4"/>
    <x v="4"/>
    <x v="2"/>
    <x v="2"/>
    <x v="2"/>
    <x v="3"/>
    <x v="4"/>
    <x v="4"/>
    <n v="82.913213999999996"/>
    <s v="..."/>
    <x v="4"/>
    <x v="4"/>
    <x v="4"/>
    <x v="4"/>
    <n v="2"/>
    <n v="0"/>
    <n v="2"/>
    <n v="2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72" firstHeaderRow="1" firstDataRow="1" firstDataCol="1"/>
  <pivotFields count="21">
    <pivotField axis="axisRow" showAll="0">
      <items count="4">
        <item x="1"/>
        <item x="2"/>
        <item x="0"/>
        <item t="default"/>
      </items>
    </pivotField>
    <pivotField axis="axisRow" showAll="0">
      <items count="6">
        <item x="4"/>
        <item x="1"/>
        <item x="2"/>
        <item x="3"/>
        <item x="0"/>
        <item t="default"/>
      </items>
    </pivotField>
    <pivotField axis="axisRow" showAll="0">
      <items count="6">
        <item x="4"/>
        <item x="1"/>
        <item x="2"/>
        <item x="3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axis="axisRow" showAll="0">
      <items count="6">
        <item x="4"/>
        <item x="1"/>
        <item x="2"/>
        <item x="3"/>
        <item x="0"/>
        <item t="default"/>
      </items>
    </pivotField>
    <pivotField axis="axisRow" showAll="0">
      <items count="6">
        <item x="4"/>
        <item x="1"/>
        <item x="2"/>
        <item x="3"/>
        <item x="0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4">
    <field x="0"/>
    <field x="1"/>
    <field x="2"/>
    <field x="3"/>
    <field x="4"/>
    <field x="5"/>
    <field x="7"/>
    <field x="6"/>
    <field x="8"/>
    <field x="11"/>
    <field x="12"/>
    <field x="13"/>
    <field x="14"/>
    <field x="19"/>
  </rowFields>
  <rowItems count="69">
    <i>
      <x/>
    </i>
    <i r="1">
      <x v="1"/>
    </i>
    <i r="2">
      <x v="1"/>
    </i>
    <i r="3">
      <x v="1"/>
    </i>
    <i r="4">
      <x/>
    </i>
    <i r="5">
      <x/>
    </i>
    <i r="6">
      <x/>
    </i>
    <i r="7">
      <x v="2"/>
    </i>
    <i r="8">
      <x v="2"/>
    </i>
    <i r="9">
      <x v="2"/>
    </i>
    <i r="10">
      <x v="1"/>
    </i>
    <i r="11">
      <x v="1"/>
    </i>
    <i r="12">
      <x/>
    </i>
    <i r="13">
      <x/>
    </i>
    <i>
      <x v="1"/>
    </i>
    <i r="1">
      <x/>
    </i>
    <i r="2">
      <x/>
    </i>
    <i r="3">
      <x/>
    </i>
    <i r="4">
      <x v="1"/>
    </i>
    <i r="5">
      <x v="1"/>
    </i>
    <i r="6">
      <x v="1"/>
    </i>
    <i r="7">
      <x v="3"/>
    </i>
    <i r="8">
      <x v="3"/>
    </i>
    <i r="9">
      <x/>
    </i>
    <i r="10">
      <x/>
    </i>
    <i r="11">
      <x/>
    </i>
    <i r="12">
      <x v="2"/>
    </i>
    <i r="13">
      <x/>
    </i>
    <i r="1">
      <x v="2"/>
    </i>
    <i r="2">
      <x v="2"/>
    </i>
    <i r="3">
      <x v="1"/>
    </i>
    <i r="4">
      <x v="1"/>
    </i>
    <i r="5">
      <x v="1"/>
    </i>
    <i r="6">
      <x v="2"/>
    </i>
    <i r="7">
      <x/>
    </i>
    <i r="8">
      <x/>
    </i>
    <i r="9">
      <x v="1"/>
    </i>
    <i r="10">
      <x v="2"/>
    </i>
    <i r="11">
      <x v="2"/>
    </i>
    <i r="12">
      <x v="1"/>
    </i>
    <i r="13">
      <x/>
    </i>
    <i r="1">
      <x v="3"/>
    </i>
    <i r="2">
      <x v="3"/>
    </i>
    <i r="3">
      <x v="1"/>
    </i>
    <i r="4">
      <x v="2"/>
    </i>
    <i r="5">
      <x v="2"/>
    </i>
    <i r="6">
      <x v="3"/>
    </i>
    <i r="7">
      <x/>
    </i>
    <i r="8">
      <x v="1"/>
    </i>
    <i r="9">
      <x v="3"/>
    </i>
    <i r="10">
      <x v="3"/>
    </i>
    <i r="11">
      <x v="3"/>
    </i>
    <i r="12">
      <x v="3"/>
    </i>
    <i r="13">
      <x/>
    </i>
    <i>
      <x v="2"/>
    </i>
    <i r="1">
      <x v="4"/>
    </i>
    <i r="2">
      <x v="4"/>
    </i>
    <i r="3">
      <x v="2"/>
    </i>
    <i r="4">
      <x v="3"/>
    </i>
    <i r="5">
      <x v="3"/>
    </i>
    <i r="6">
      <x v="4"/>
    </i>
    <i r="7">
      <x v="1"/>
    </i>
    <i r="8">
      <x v="4"/>
    </i>
    <i r="9">
      <x v="4"/>
    </i>
    <i r="10">
      <x v="4"/>
    </i>
    <i r="11">
      <x v="4"/>
    </i>
    <i r="12">
      <x v="4"/>
    </i>
    <i r="13">
      <x v="1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sqref="A1:H6"/>
    </sheetView>
  </sheetViews>
  <sheetFormatPr defaultRowHeight="15"/>
  <cols>
    <col min="1" max="1" width="16" style="1" customWidth="1"/>
    <col min="2" max="2" width="16.5703125" style="1" customWidth="1"/>
    <col min="3" max="3" width="16.5703125" customWidth="1"/>
    <col min="4" max="4" width="15.140625" customWidth="1"/>
    <col min="5" max="5" width="16.140625" customWidth="1"/>
    <col min="6" max="6" width="13.7109375" customWidth="1"/>
    <col min="7" max="7" width="21.7109375" customWidth="1"/>
    <col min="8" max="8" width="16.5703125" customWidth="1"/>
  </cols>
  <sheetData>
    <row r="1" spans="1:8">
      <c r="A1" s="2" t="s">
        <v>0</v>
      </c>
      <c r="B1" s="2" t="s">
        <v>1</v>
      </c>
      <c r="C1" s="2" t="s">
        <v>11</v>
      </c>
      <c r="D1" s="2" t="s">
        <v>10</v>
      </c>
      <c r="E1" s="2" t="s">
        <v>9</v>
      </c>
      <c r="F1" s="2" t="s">
        <v>2</v>
      </c>
      <c r="G1" s="2" t="s">
        <v>3</v>
      </c>
      <c r="H1" s="2" t="s">
        <v>12</v>
      </c>
    </row>
    <row r="2" spans="1:8">
      <c r="A2" s="3">
        <v>101</v>
      </c>
      <c r="B2" s="3" t="s">
        <v>4</v>
      </c>
      <c r="C2" s="3">
        <v>78</v>
      </c>
      <c r="D2" s="3">
        <v>85</v>
      </c>
      <c r="E2" s="3">
        <v>90</v>
      </c>
      <c r="F2" s="3">
        <f>SUM(C2,D2,E2)</f>
        <v>253</v>
      </c>
      <c r="G2" s="3">
        <f>AVERAGE(C2:F2)</f>
        <v>126.5</v>
      </c>
      <c r="H2" s="7" t="str">
        <f>IF(G2&gt;=40,"Pass","Fail")</f>
        <v>Pass</v>
      </c>
    </row>
    <row r="3" spans="1:8">
      <c r="A3" s="3">
        <v>102</v>
      </c>
      <c r="B3" s="3" t="s">
        <v>5</v>
      </c>
      <c r="C3" s="3">
        <v>20</v>
      </c>
      <c r="D3" s="3">
        <v>14</v>
      </c>
      <c r="E3" s="3">
        <v>22</v>
      </c>
      <c r="F3" s="3">
        <f>SUM(C3,D3,E3)</f>
        <v>56</v>
      </c>
      <c r="G3" s="3">
        <f>AVERAGE(C3:F3)</f>
        <v>28</v>
      </c>
      <c r="H3" s="5" t="str">
        <f>IF(G3&gt;=40,"Pass","Fail")</f>
        <v>Fail</v>
      </c>
    </row>
    <row r="4" spans="1:8">
      <c r="A4" s="3">
        <v>103</v>
      </c>
      <c r="B4" s="3" t="s">
        <v>6</v>
      </c>
      <c r="C4" s="3">
        <v>7</v>
      </c>
      <c r="D4" s="3">
        <v>3</v>
      </c>
      <c r="E4" s="3">
        <v>5</v>
      </c>
      <c r="F4" s="3">
        <f>SUM(C4,D4,E4)</f>
        <v>15</v>
      </c>
      <c r="G4" s="3">
        <f>AVERAGE(C4:F4)</f>
        <v>7.5</v>
      </c>
      <c r="H4" s="6" t="str">
        <f t="shared" ref="H3:H6" si="0">IF(G4&gt;=40,"Pass","Fail")</f>
        <v>Fail</v>
      </c>
    </row>
    <row r="5" spans="1:8">
      <c r="A5" s="3">
        <v>104</v>
      </c>
      <c r="B5" s="3" t="s">
        <v>7</v>
      </c>
      <c r="C5" s="3">
        <v>55</v>
      </c>
      <c r="D5" s="3">
        <v>60</v>
      </c>
      <c r="E5" s="3">
        <v>58</v>
      </c>
      <c r="F5" s="3">
        <f>SUM(C5,D5,E5)</f>
        <v>173</v>
      </c>
      <c r="G5" s="3">
        <f>AVERAGE(C5:F5)</f>
        <v>86.5</v>
      </c>
      <c r="H5" s="7" t="str">
        <f t="shared" si="0"/>
        <v>Pass</v>
      </c>
    </row>
    <row r="6" spans="1:8" ht="15.75">
      <c r="A6" s="3">
        <v>105</v>
      </c>
      <c r="B6" s="3" t="s">
        <v>8</v>
      </c>
      <c r="C6" s="3">
        <v>80</v>
      </c>
      <c r="D6" s="3">
        <v>75</v>
      </c>
      <c r="E6" s="3">
        <v>85</v>
      </c>
      <c r="F6" s="4">
        <f>SUM(C6,D6,E6)</f>
        <v>240</v>
      </c>
      <c r="G6" s="4">
        <f>AVERAGE(C6:F6)</f>
        <v>120</v>
      </c>
      <c r="H6" s="7" t="str">
        <f t="shared" si="0"/>
        <v>Pass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A72"/>
  <sheetViews>
    <sheetView topLeftCell="A52" workbookViewId="0">
      <selection activeCell="A3" sqref="A3"/>
    </sheetView>
  </sheetViews>
  <sheetFormatPr defaultRowHeight="15"/>
  <cols>
    <col min="1" max="1" width="31.28515625" bestFit="1" customWidth="1"/>
  </cols>
  <sheetData>
    <row r="3" spans="1:1">
      <c r="A3" s="20" t="s">
        <v>45</v>
      </c>
    </row>
    <row r="4" spans="1:1">
      <c r="A4" s="21" t="s">
        <v>35</v>
      </c>
    </row>
    <row r="5" spans="1:1">
      <c r="A5" s="22">
        <v>77.569999999999993</v>
      </c>
    </row>
    <row r="6" spans="1:1">
      <c r="A6" s="23">
        <v>64.599999999999994</v>
      </c>
    </row>
    <row r="7" spans="1:1">
      <c r="A7" s="24" t="s">
        <v>36</v>
      </c>
    </row>
    <row r="8" spans="1:1">
      <c r="A8" s="25" t="s">
        <v>37</v>
      </c>
    </row>
    <row r="9" spans="1:1">
      <c r="A9" s="26" t="s">
        <v>37</v>
      </c>
    </row>
    <row r="10" spans="1:1">
      <c r="A10" s="27">
        <v>6.29</v>
      </c>
    </row>
    <row r="11" spans="1:1">
      <c r="A11" s="28" t="s">
        <v>38</v>
      </c>
    </row>
    <row r="12" spans="1:1">
      <c r="A12" s="29">
        <v>44718</v>
      </c>
    </row>
    <row r="13" spans="1:1">
      <c r="A13" s="30">
        <v>5.94</v>
      </c>
    </row>
    <row r="14" spans="1:1">
      <c r="A14" s="31">
        <v>5.41</v>
      </c>
    </row>
    <row r="15" spans="1:1">
      <c r="A15" s="32">
        <v>6.25</v>
      </c>
    </row>
    <row r="16" spans="1:1">
      <c r="A16" s="33">
        <v>6.13</v>
      </c>
    </row>
    <row r="17" spans="1:1">
      <c r="A17" s="34">
        <v>0</v>
      </c>
    </row>
    <row r="18" spans="1:1">
      <c r="A18" s="21" t="s">
        <v>39</v>
      </c>
    </row>
    <row r="19" spans="1:1">
      <c r="A19" s="22">
        <v>65.400000000000006</v>
      </c>
    </row>
    <row r="20" spans="1:1">
      <c r="A20" s="23">
        <v>59.8</v>
      </c>
    </row>
    <row r="21" spans="1:1">
      <c r="A21" s="24" t="s">
        <v>43</v>
      </c>
    </row>
    <row r="22" spans="1:1">
      <c r="A22" s="25" t="s">
        <v>40</v>
      </c>
    </row>
    <row r="23" spans="1:1">
      <c r="A23" s="26" t="s">
        <v>40</v>
      </c>
    </row>
    <row r="24" spans="1:1">
      <c r="A24" s="27">
        <v>6.41</v>
      </c>
    </row>
    <row r="25" spans="1:1">
      <c r="A25" s="28" t="s">
        <v>44</v>
      </c>
    </row>
    <row r="26" spans="1:1">
      <c r="A26" s="29">
        <v>232157</v>
      </c>
    </row>
    <row r="27" spans="1:1">
      <c r="A27" s="30">
        <v>5.71</v>
      </c>
    </row>
    <row r="28" spans="1:1">
      <c r="A28" s="31">
        <v>5.24</v>
      </c>
    </row>
    <row r="29" spans="1:1">
      <c r="A29" s="32">
        <v>5.88</v>
      </c>
    </row>
    <row r="30" spans="1:1">
      <c r="A30" s="33">
        <v>6.25</v>
      </c>
    </row>
    <row r="31" spans="1:1">
      <c r="A31" s="34">
        <v>0</v>
      </c>
    </row>
    <row r="32" spans="1:1">
      <c r="A32" s="22">
        <v>86.4</v>
      </c>
    </row>
    <row r="33" spans="1:1">
      <c r="A33" s="23">
        <v>71.8</v>
      </c>
    </row>
    <row r="34" spans="1:1">
      <c r="A34" s="24" t="s">
        <v>36</v>
      </c>
    </row>
    <row r="35" spans="1:1">
      <c r="A35" s="25" t="s">
        <v>40</v>
      </c>
    </row>
    <row r="36" spans="1:1">
      <c r="A36" s="26" t="s">
        <v>40</v>
      </c>
    </row>
    <row r="37" spans="1:1">
      <c r="A37" s="27">
        <v>6.47</v>
      </c>
    </row>
    <row r="38" spans="1:1">
      <c r="A38" s="28" t="s">
        <v>41</v>
      </c>
    </row>
    <row r="39" spans="1:1">
      <c r="A39" s="29">
        <v>24222</v>
      </c>
    </row>
    <row r="40" spans="1:1">
      <c r="A40" s="30">
        <v>5.88</v>
      </c>
    </row>
    <row r="41" spans="1:1">
      <c r="A41" s="31">
        <v>5.53</v>
      </c>
    </row>
    <row r="42" spans="1:1">
      <c r="A42" s="32">
        <v>6.44</v>
      </c>
    </row>
    <row r="43" spans="1:1">
      <c r="A43" s="33">
        <v>6.19</v>
      </c>
    </row>
    <row r="44" spans="1:1">
      <c r="A44" s="34">
        <v>0</v>
      </c>
    </row>
    <row r="45" spans="1:1">
      <c r="A45" s="22">
        <v>88.14</v>
      </c>
    </row>
    <row r="46" spans="1:1">
      <c r="A46" s="23">
        <v>78</v>
      </c>
    </row>
    <row r="47" spans="1:1">
      <c r="A47" s="24" t="s">
        <v>36</v>
      </c>
    </row>
    <row r="48" spans="1:1">
      <c r="A48" s="25" t="s">
        <v>42</v>
      </c>
    </row>
    <row r="49" spans="1:1">
      <c r="A49" s="26" t="s">
        <v>42</v>
      </c>
    </row>
    <row r="50" spans="1:1">
      <c r="A50" s="27">
        <v>7.35</v>
      </c>
    </row>
    <row r="51" spans="1:1">
      <c r="A51" s="28" t="s">
        <v>41</v>
      </c>
    </row>
    <row r="52" spans="1:1">
      <c r="A52" s="29">
        <v>24723</v>
      </c>
    </row>
    <row r="53" spans="1:1">
      <c r="A53" s="30">
        <v>6.54</v>
      </c>
    </row>
    <row r="54" spans="1:1">
      <c r="A54" s="31">
        <v>6.41</v>
      </c>
    </row>
    <row r="55" spans="1:1">
      <c r="A55" s="32">
        <v>6.5</v>
      </c>
    </row>
    <row r="56" spans="1:1">
      <c r="A56" s="33">
        <v>6.69</v>
      </c>
    </row>
    <row r="57" spans="1:1">
      <c r="A57" s="34">
        <v>0</v>
      </c>
    </row>
    <row r="58" spans="1:1">
      <c r="A58" s="21" t="s">
        <v>34</v>
      </c>
    </row>
    <row r="59" spans="1:1">
      <c r="A59" s="22" t="s">
        <v>34</v>
      </c>
    </row>
    <row r="60" spans="1:1">
      <c r="A60" s="23" t="s">
        <v>34</v>
      </c>
    </row>
    <row r="61" spans="1:1">
      <c r="A61" s="24" t="s">
        <v>34</v>
      </c>
    </row>
    <row r="62" spans="1:1">
      <c r="A62" s="25" t="s">
        <v>34</v>
      </c>
    </row>
    <row r="63" spans="1:1">
      <c r="A63" s="26" t="s">
        <v>34</v>
      </c>
    </row>
    <row r="64" spans="1:1">
      <c r="A64" s="27" t="s">
        <v>34</v>
      </c>
    </row>
    <row r="65" spans="1:1">
      <c r="A65" s="28" t="s">
        <v>34</v>
      </c>
    </row>
    <row r="66" spans="1:1">
      <c r="A66" s="29" t="s">
        <v>34</v>
      </c>
    </row>
    <row r="67" spans="1:1">
      <c r="A67" s="30" t="s">
        <v>34</v>
      </c>
    </row>
    <row r="68" spans="1:1">
      <c r="A68" s="31" t="s">
        <v>34</v>
      </c>
    </row>
    <row r="69" spans="1:1">
      <c r="A69" s="32" t="s">
        <v>34</v>
      </c>
    </row>
    <row r="70" spans="1:1">
      <c r="A70" s="33" t="s">
        <v>34</v>
      </c>
    </row>
    <row r="71" spans="1:1">
      <c r="A71" s="34" t="s">
        <v>34</v>
      </c>
    </row>
    <row r="72" spans="1:1">
      <c r="A72" s="2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"/>
  <sheetViews>
    <sheetView topLeftCell="B1" workbookViewId="0">
      <selection sqref="A1:V6"/>
    </sheetView>
  </sheetViews>
  <sheetFormatPr defaultRowHeight="15"/>
  <cols>
    <col min="1" max="2" width="18.42578125" customWidth="1"/>
    <col min="3" max="3" width="13" customWidth="1"/>
    <col min="4" max="4" width="15" customWidth="1"/>
    <col min="5" max="5" width="14.7109375" customWidth="1"/>
    <col min="6" max="6" width="17.85546875" customWidth="1"/>
    <col min="7" max="7" width="15.42578125" customWidth="1"/>
    <col min="8" max="8" width="18" customWidth="1"/>
  </cols>
  <sheetData>
    <row r="1" spans="1:22" ht="48">
      <c r="A1" s="10"/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  <c r="J1" s="11" t="s">
        <v>21</v>
      </c>
      <c r="K1" s="11" t="s">
        <v>22</v>
      </c>
      <c r="L1" s="11" t="s">
        <v>23</v>
      </c>
      <c r="M1" s="11" t="s">
        <v>24</v>
      </c>
      <c r="N1" s="11" t="s">
        <v>25</v>
      </c>
      <c r="O1" s="11" t="s">
        <v>26</v>
      </c>
      <c r="P1" s="11" t="s">
        <v>27</v>
      </c>
      <c r="Q1" s="11" t="s">
        <v>28</v>
      </c>
      <c r="R1" s="11" t="s">
        <v>29</v>
      </c>
      <c r="S1" s="11" t="s">
        <v>30</v>
      </c>
      <c r="T1" s="11" t="s">
        <v>31</v>
      </c>
      <c r="U1" s="11" t="s">
        <v>32</v>
      </c>
      <c r="V1" s="12" t="s">
        <v>33</v>
      </c>
    </row>
    <row r="2" spans="1:22">
      <c r="A2" s="13">
        <v>0</v>
      </c>
      <c r="B2" s="8" t="s">
        <v>34</v>
      </c>
      <c r="C2" s="8" t="s">
        <v>34</v>
      </c>
      <c r="D2" s="8" t="s">
        <v>34</v>
      </c>
      <c r="E2" s="8" t="s">
        <v>34</v>
      </c>
      <c r="F2" s="8" t="s">
        <v>34</v>
      </c>
      <c r="G2" s="8" t="s">
        <v>34</v>
      </c>
      <c r="H2" s="8" t="s">
        <v>34</v>
      </c>
      <c r="I2" s="8" t="s">
        <v>34</v>
      </c>
      <c r="J2" s="8" t="s">
        <v>34</v>
      </c>
      <c r="K2" s="8" t="s">
        <v>34</v>
      </c>
      <c r="L2" s="8" t="s">
        <v>23</v>
      </c>
      <c r="M2" s="8" t="s">
        <v>34</v>
      </c>
      <c r="N2" s="8" t="s">
        <v>34</v>
      </c>
      <c r="O2" s="8" t="s">
        <v>34</v>
      </c>
      <c r="P2" s="8" t="s">
        <v>34</v>
      </c>
      <c r="Q2" s="8" t="s">
        <v>34</v>
      </c>
      <c r="R2" s="8" t="s">
        <v>34</v>
      </c>
      <c r="S2" s="8" t="s">
        <v>34</v>
      </c>
      <c r="T2" s="8" t="s">
        <v>34</v>
      </c>
      <c r="U2" s="8" t="s">
        <v>34</v>
      </c>
      <c r="V2" s="14" t="s">
        <v>34</v>
      </c>
    </row>
    <row r="3" spans="1:22">
      <c r="A3" s="15">
        <v>1</v>
      </c>
      <c r="B3" s="9" t="s">
        <v>35</v>
      </c>
      <c r="C3" s="9">
        <v>77.569999999999993</v>
      </c>
      <c r="D3" s="9">
        <v>64.599999999999994</v>
      </c>
      <c r="E3" s="9" t="s">
        <v>36</v>
      </c>
      <c r="F3" s="9" t="s">
        <v>37</v>
      </c>
      <c r="G3" s="9" t="s">
        <v>37</v>
      </c>
      <c r="H3" s="9" t="s">
        <v>38</v>
      </c>
      <c r="I3" s="9">
        <v>6.29</v>
      </c>
      <c r="J3" s="9">
        <v>44718</v>
      </c>
      <c r="K3" s="9">
        <v>15.970713999999999</v>
      </c>
      <c r="L3" s="9" t="s">
        <v>23</v>
      </c>
      <c r="M3" s="9">
        <v>5.94</v>
      </c>
      <c r="N3" s="9">
        <v>5.41</v>
      </c>
      <c r="O3" s="9">
        <v>6.25</v>
      </c>
      <c r="P3" s="9">
        <v>6.13</v>
      </c>
      <c r="Q3" s="9">
        <v>1</v>
      </c>
      <c r="R3" s="9">
        <v>4</v>
      </c>
      <c r="S3" s="9">
        <v>3</v>
      </c>
      <c r="T3" s="9">
        <v>2</v>
      </c>
      <c r="U3" s="9">
        <v>0</v>
      </c>
      <c r="V3" s="16">
        <v>5</v>
      </c>
    </row>
    <row r="4" spans="1:22">
      <c r="A4" s="13">
        <v>2</v>
      </c>
      <c r="B4" s="8" t="s">
        <v>39</v>
      </c>
      <c r="C4" s="8">
        <v>86.4</v>
      </c>
      <c r="D4" s="8">
        <v>71.8</v>
      </c>
      <c r="E4" s="8" t="s">
        <v>36</v>
      </c>
      <c r="F4" s="8" t="s">
        <v>40</v>
      </c>
      <c r="G4" s="8" t="s">
        <v>40</v>
      </c>
      <c r="H4" s="8" t="s">
        <v>41</v>
      </c>
      <c r="I4" s="8">
        <v>6.47</v>
      </c>
      <c r="J4" s="8">
        <v>24222</v>
      </c>
      <c r="K4" s="8">
        <v>8.6507140000000007</v>
      </c>
      <c r="L4" s="8" t="s">
        <v>23</v>
      </c>
      <c r="M4" s="8">
        <v>5.88</v>
      </c>
      <c r="N4" s="8">
        <v>5.53</v>
      </c>
      <c r="O4" s="8">
        <v>6.44</v>
      </c>
      <c r="P4" s="8">
        <v>6.19</v>
      </c>
      <c r="Q4" s="8">
        <v>2</v>
      </c>
      <c r="R4" s="8">
        <v>2</v>
      </c>
      <c r="S4" s="8">
        <v>0</v>
      </c>
      <c r="T4" s="8">
        <v>1</v>
      </c>
      <c r="U4" s="8">
        <v>0</v>
      </c>
      <c r="V4" s="14">
        <v>4</v>
      </c>
    </row>
    <row r="5" spans="1:22">
      <c r="A5" s="15">
        <v>3</v>
      </c>
      <c r="B5" s="9" t="s">
        <v>39</v>
      </c>
      <c r="C5" s="9">
        <v>88.14</v>
      </c>
      <c r="D5" s="9">
        <v>78</v>
      </c>
      <c r="E5" s="9" t="s">
        <v>36</v>
      </c>
      <c r="F5" s="9" t="s">
        <v>42</v>
      </c>
      <c r="G5" s="9" t="s">
        <v>42</v>
      </c>
      <c r="H5" s="9" t="s">
        <v>41</v>
      </c>
      <c r="I5" s="9">
        <v>7.35</v>
      </c>
      <c r="J5" s="9">
        <v>24723</v>
      </c>
      <c r="K5" s="9">
        <v>8.8296430000000008</v>
      </c>
      <c r="L5" s="9" t="s">
        <v>23</v>
      </c>
      <c r="M5" s="9">
        <v>6.54</v>
      </c>
      <c r="N5" s="9">
        <v>6.41</v>
      </c>
      <c r="O5" s="9">
        <v>6.5</v>
      </c>
      <c r="P5" s="9">
        <v>6.69</v>
      </c>
      <c r="Q5" s="9">
        <v>1</v>
      </c>
      <c r="R5" s="9">
        <v>1</v>
      </c>
      <c r="S5" s="9">
        <v>3</v>
      </c>
      <c r="T5" s="9">
        <v>0</v>
      </c>
      <c r="U5" s="9">
        <v>0</v>
      </c>
      <c r="V5" s="16">
        <v>5</v>
      </c>
    </row>
    <row r="6" spans="1:22">
      <c r="A6" s="17">
        <v>4</v>
      </c>
      <c r="B6" s="18" t="s">
        <v>39</v>
      </c>
      <c r="C6" s="18">
        <v>65.400000000000006</v>
      </c>
      <c r="D6" s="18">
        <v>59.8</v>
      </c>
      <c r="E6" s="18" t="s">
        <v>43</v>
      </c>
      <c r="F6" s="18" t="s">
        <v>40</v>
      </c>
      <c r="G6" s="18" t="s">
        <v>40</v>
      </c>
      <c r="H6" s="18" t="s">
        <v>44</v>
      </c>
      <c r="I6" s="18">
        <v>6.41</v>
      </c>
      <c r="J6" s="18">
        <v>232157</v>
      </c>
      <c r="K6" s="18">
        <v>82.913213999999996</v>
      </c>
      <c r="L6" s="18" t="s">
        <v>23</v>
      </c>
      <c r="M6" s="18">
        <v>5.71</v>
      </c>
      <c r="N6" s="18">
        <v>5.24</v>
      </c>
      <c r="O6" s="18">
        <v>5.88</v>
      </c>
      <c r="P6" s="18">
        <v>6.25</v>
      </c>
      <c r="Q6" s="18">
        <v>2</v>
      </c>
      <c r="R6" s="18">
        <v>0</v>
      </c>
      <c r="S6" s="18">
        <v>2</v>
      </c>
      <c r="T6" s="18">
        <v>2</v>
      </c>
      <c r="U6" s="18">
        <v>0</v>
      </c>
      <c r="V6" s="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31"/>
  <sheetViews>
    <sheetView zoomScale="70" zoomScaleNormal="70" workbookViewId="0">
      <selection activeCell="E9" sqref="E9:Z31"/>
    </sheetView>
  </sheetViews>
  <sheetFormatPr defaultRowHeight="15"/>
  <sheetData>
    <row r="1" spans="1:26" ht="48">
      <c r="A1" s="10"/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  <c r="J1" s="11" t="s">
        <v>21</v>
      </c>
      <c r="K1" s="11" t="s">
        <v>22</v>
      </c>
      <c r="L1" s="11" t="s">
        <v>23</v>
      </c>
      <c r="M1" s="11" t="s">
        <v>24</v>
      </c>
      <c r="N1" s="11" t="s">
        <v>25</v>
      </c>
      <c r="O1" s="11" t="s">
        <v>26</v>
      </c>
      <c r="P1" s="11" t="s">
        <v>27</v>
      </c>
      <c r="Q1" s="11" t="s">
        <v>28</v>
      </c>
      <c r="R1" s="11" t="s">
        <v>29</v>
      </c>
      <c r="S1" s="11" t="s">
        <v>30</v>
      </c>
      <c r="T1" s="11" t="s">
        <v>31</v>
      </c>
      <c r="U1" s="11" t="s">
        <v>32</v>
      </c>
      <c r="V1" s="12" t="s">
        <v>33</v>
      </c>
    </row>
    <row r="2" spans="1:26">
      <c r="A2" s="13">
        <v>0</v>
      </c>
      <c r="B2" s="8" t="s">
        <v>34</v>
      </c>
      <c r="C2" s="8" t="s">
        <v>34</v>
      </c>
      <c r="D2" s="8" t="s">
        <v>34</v>
      </c>
      <c r="E2" s="8" t="s">
        <v>34</v>
      </c>
      <c r="F2" s="8" t="s">
        <v>34</v>
      </c>
      <c r="G2" s="8" t="s">
        <v>34</v>
      </c>
      <c r="H2" s="8" t="s">
        <v>34</v>
      </c>
      <c r="I2" s="8" t="s">
        <v>34</v>
      </c>
      <c r="J2" s="8" t="s">
        <v>34</v>
      </c>
      <c r="K2" s="8" t="s">
        <v>34</v>
      </c>
      <c r="L2" s="8" t="s">
        <v>23</v>
      </c>
      <c r="M2" s="8" t="s">
        <v>34</v>
      </c>
      <c r="N2" s="8" t="s">
        <v>34</v>
      </c>
      <c r="O2" s="8" t="s">
        <v>34</v>
      </c>
      <c r="P2" s="8" t="s">
        <v>34</v>
      </c>
      <c r="Q2" s="8" t="s">
        <v>34</v>
      </c>
      <c r="R2" s="8" t="s">
        <v>34</v>
      </c>
      <c r="S2" s="8" t="s">
        <v>34</v>
      </c>
      <c r="T2" s="8" t="s">
        <v>34</v>
      </c>
      <c r="U2" s="8" t="s">
        <v>34</v>
      </c>
      <c r="V2" s="14" t="s">
        <v>34</v>
      </c>
    </row>
    <row r="3" spans="1:26" ht="24">
      <c r="A3" s="15">
        <v>1</v>
      </c>
      <c r="B3" s="9" t="s">
        <v>35</v>
      </c>
      <c r="C3" s="9">
        <v>77.569999999999993</v>
      </c>
      <c r="D3" s="9">
        <v>64.599999999999994</v>
      </c>
      <c r="E3" s="9" t="s">
        <v>36</v>
      </c>
      <c r="F3" s="9" t="s">
        <v>37</v>
      </c>
      <c r="G3" s="9" t="s">
        <v>37</v>
      </c>
      <c r="H3" s="9" t="s">
        <v>38</v>
      </c>
      <c r="I3" s="9">
        <v>6.29</v>
      </c>
      <c r="J3" s="9">
        <v>44718</v>
      </c>
      <c r="K3" s="9">
        <v>15.970713999999999</v>
      </c>
      <c r="L3" s="9" t="s">
        <v>23</v>
      </c>
      <c r="M3" s="9">
        <v>5.94</v>
      </c>
      <c r="N3" s="9">
        <v>5.41</v>
      </c>
      <c r="O3" s="9">
        <v>6.25</v>
      </c>
      <c r="P3" s="9">
        <v>6.13</v>
      </c>
      <c r="Q3" s="9">
        <v>1</v>
      </c>
      <c r="R3" s="9">
        <v>4</v>
      </c>
      <c r="S3" s="9">
        <v>3</v>
      </c>
      <c r="T3" s="9">
        <v>2</v>
      </c>
      <c r="U3" s="9">
        <v>0</v>
      </c>
      <c r="V3" s="16">
        <v>5</v>
      </c>
    </row>
    <row r="4" spans="1:26">
      <c r="A4" s="13">
        <v>2</v>
      </c>
      <c r="B4" s="8" t="s">
        <v>39</v>
      </c>
      <c r="C4" s="8">
        <v>86.4</v>
      </c>
      <c r="D4" s="8">
        <v>71.8</v>
      </c>
      <c r="E4" s="8" t="s">
        <v>36</v>
      </c>
      <c r="F4" s="8" t="s">
        <v>40</v>
      </c>
      <c r="G4" s="8" t="s">
        <v>40</v>
      </c>
      <c r="H4" s="8" t="s">
        <v>41</v>
      </c>
      <c r="I4" s="8">
        <v>6.47</v>
      </c>
      <c r="J4" s="8">
        <v>24222</v>
      </c>
      <c r="K4" s="8">
        <v>8.6507140000000007</v>
      </c>
      <c r="L4" s="8" t="s">
        <v>23</v>
      </c>
      <c r="M4" s="8">
        <v>5.88</v>
      </c>
      <c r="N4" s="8">
        <v>5.53</v>
      </c>
      <c r="O4" s="8">
        <v>6.44</v>
      </c>
      <c r="P4" s="8">
        <v>6.19</v>
      </c>
      <c r="Q4" s="8">
        <v>2</v>
      </c>
      <c r="R4" s="8">
        <v>2</v>
      </c>
      <c r="S4" s="8">
        <v>0</v>
      </c>
      <c r="T4" s="8">
        <v>1</v>
      </c>
      <c r="U4" s="8">
        <v>0</v>
      </c>
      <c r="V4" s="14">
        <v>4</v>
      </c>
    </row>
    <row r="5" spans="1:26">
      <c r="A5" s="15">
        <v>3</v>
      </c>
      <c r="B5" s="9" t="s">
        <v>39</v>
      </c>
      <c r="C5" s="9">
        <v>88.14</v>
      </c>
      <c r="D5" s="9">
        <v>78</v>
      </c>
      <c r="E5" s="9" t="s">
        <v>36</v>
      </c>
      <c r="F5" s="9" t="s">
        <v>42</v>
      </c>
      <c r="G5" s="9" t="s">
        <v>42</v>
      </c>
      <c r="H5" s="9" t="s">
        <v>41</v>
      </c>
      <c r="I5" s="9">
        <v>7.35</v>
      </c>
      <c r="J5" s="9">
        <v>24723</v>
      </c>
      <c r="K5" s="9">
        <v>8.8296430000000008</v>
      </c>
      <c r="L5" s="9" t="s">
        <v>23</v>
      </c>
      <c r="M5" s="9">
        <v>6.54</v>
      </c>
      <c r="N5" s="9">
        <v>6.41</v>
      </c>
      <c r="O5" s="9">
        <v>6.5</v>
      </c>
      <c r="P5" s="9">
        <v>6.69</v>
      </c>
      <c r="Q5" s="9">
        <v>1</v>
      </c>
      <c r="R5" s="9">
        <v>1</v>
      </c>
      <c r="S5" s="9">
        <v>3</v>
      </c>
      <c r="T5" s="9">
        <v>0</v>
      </c>
      <c r="U5" s="9">
        <v>0</v>
      </c>
      <c r="V5" s="16">
        <v>5</v>
      </c>
    </row>
    <row r="6" spans="1:26" ht="24">
      <c r="A6" s="17">
        <v>4</v>
      </c>
      <c r="B6" s="18" t="s">
        <v>39</v>
      </c>
      <c r="C6" s="18">
        <v>65.400000000000006</v>
      </c>
      <c r="D6" s="18">
        <v>59.8</v>
      </c>
      <c r="E6" s="18" t="s">
        <v>43</v>
      </c>
      <c r="F6" s="18" t="s">
        <v>40</v>
      </c>
      <c r="G6" s="18" t="s">
        <v>40</v>
      </c>
      <c r="H6" s="18" t="s">
        <v>44</v>
      </c>
      <c r="I6" s="18">
        <v>6.41</v>
      </c>
      <c r="J6" s="18">
        <v>232157</v>
      </c>
      <c r="K6" s="18">
        <v>82.913213999999996</v>
      </c>
      <c r="L6" s="18" t="s">
        <v>23</v>
      </c>
      <c r="M6" s="18">
        <v>5.71</v>
      </c>
      <c r="N6" s="18">
        <v>5.24</v>
      </c>
      <c r="O6" s="18">
        <v>5.88</v>
      </c>
      <c r="P6" s="18">
        <v>6.25</v>
      </c>
      <c r="Q6" s="18">
        <v>2</v>
      </c>
      <c r="R6" s="18">
        <v>0</v>
      </c>
      <c r="S6" s="18">
        <v>2</v>
      </c>
      <c r="T6" s="18">
        <v>2</v>
      </c>
      <c r="U6" s="18">
        <v>0</v>
      </c>
      <c r="V6" s="19">
        <v>1</v>
      </c>
    </row>
    <row r="9" spans="1:26"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5:26"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5:26"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5:26"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5:26"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5:26"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5:26"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5:26"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5:26"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5:26"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5:26"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5:26"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5:26"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5:26"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5:26"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5:26"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</sheetData>
  <mergeCells count="1">
    <mergeCell ref="E9:Z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zoomScale="70" zoomScaleNormal="70" workbookViewId="0">
      <selection sqref="A1:F6"/>
    </sheetView>
  </sheetViews>
  <sheetFormatPr defaultRowHeight="15"/>
  <sheetData>
    <row r="1" spans="1:8" ht="30">
      <c r="A1" s="2" t="s">
        <v>0</v>
      </c>
      <c r="B1" s="2" t="s">
        <v>1</v>
      </c>
      <c r="C1" s="2" t="s">
        <v>11</v>
      </c>
      <c r="D1" s="2" t="s">
        <v>10</v>
      </c>
      <c r="E1" s="2" t="s">
        <v>9</v>
      </c>
      <c r="F1" s="2" t="s">
        <v>2</v>
      </c>
      <c r="G1" s="2" t="s">
        <v>3</v>
      </c>
      <c r="H1" s="2" t="s">
        <v>12</v>
      </c>
    </row>
    <row r="2" spans="1:8" ht="30">
      <c r="A2" s="3">
        <v>101</v>
      </c>
      <c r="B2" s="3" t="s">
        <v>4</v>
      </c>
      <c r="C2" s="3">
        <v>78</v>
      </c>
      <c r="D2" s="3">
        <v>85</v>
      </c>
      <c r="E2" s="3">
        <v>90</v>
      </c>
      <c r="F2" s="3">
        <f>SUM(C2,D2,E2)</f>
        <v>253</v>
      </c>
      <c r="G2" s="3">
        <f>AVERAGE(C2:F2)</f>
        <v>126.5</v>
      </c>
      <c r="H2" s="7" t="str">
        <f>IF(G2&gt;=40,"Pass","Fail")</f>
        <v>Pass</v>
      </c>
    </row>
    <row r="3" spans="1:8" ht="30">
      <c r="A3" s="3">
        <v>102</v>
      </c>
      <c r="B3" s="3" t="s">
        <v>5</v>
      </c>
      <c r="C3" s="3">
        <v>20</v>
      </c>
      <c r="D3" s="3">
        <v>14</v>
      </c>
      <c r="E3" s="3">
        <v>22</v>
      </c>
      <c r="F3" s="3">
        <f>SUM(C3,D3,E3)</f>
        <v>56</v>
      </c>
      <c r="G3" s="3">
        <f>AVERAGE(C3:F3)</f>
        <v>28</v>
      </c>
      <c r="H3" s="5" t="str">
        <f>IF(G3&gt;=40,"Pass","Fail")</f>
        <v>Fail</v>
      </c>
    </row>
    <row r="4" spans="1:8" ht="30">
      <c r="A4" s="3">
        <v>103</v>
      </c>
      <c r="B4" s="3" t="s">
        <v>6</v>
      </c>
      <c r="C4" s="3">
        <v>7</v>
      </c>
      <c r="D4" s="3">
        <v>3</v>
      </c>
      <c r="E4" s="3">
        <v>5</v>
      </c>
      <c r="F4" s="3">
        <f>SUM(C4,D4,E4)</f>
        <v>15</v>
      </c>
      <c r="G4" s="3">
        <f>AVERAGE(C4:F4)</f>
        <v>7.5</v>
      </c>
      <c r="H4" s="6" t="str">
        <f t="shared" ref="H4:H6" si="0">IF(G4&gt;=40,"Pass","Fail")</f>
        <v>Fail</v>
      </c>
    </row>
    <row r="5" spans="1:8" ht="30">
      <c r="A5" s="3">
        <v>104</v>
      </c>
      <c r="B5" s="3" t="s">
        <v>7</v>
      </c>
      <c r="C5" s="3">
        <v>55</v>
      </c>
      <c r="D5" s="3">
        <v>60</v>
      </c>
      <c r="E5" s="3">
        <v>58</v>
      </c>
      <c r="F5" s="3">
        <f>SUM(C5,D5,E5)</f>
        <v>173</v>
      </c>
      <c r="G5" s="3">
        <f>AVERAGE(C5:F5)</f>
        <v>86.5</v>
      </c>
      <c r="H5" s="7" t="str">
        <f t="shared" si="0"/>
        <v>Pass</v>
      </c>
    </row>
    <row r="6" spans="1:8" ht="30">
      <c r="A6" s="3">
        <v>105</v>
      </c>
      <c r="B6" s="3" t="s">
        <v>8</v>
      </c>
      <c r="C6" s="3">
        <v>80</v>
      </c>
      <c r="D6" s="3">
        <v>75</v>
      </c>
      <c r="E6" s="3">
        <v>85</v>
      </c>
      <c r="F6" s="4">
        <f>SUM(C6,D6,E6)</f>
        <v>240</v>
      </c>
      <c r="G6" s="4">
        <f>AVERAGE(C6:F6)</f>
        <v>120</v>
      </c>
      <c r="H6" s="7" t="str">
        <f t="shared" si="0"/>
        <v>Pass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tabSelected="1" zoomScale="70" zoomScaleNormal="70" workbookViewId="0">
      <selection sqref="A1:F6"/>
    </sheetView>
  </sheetViews>
  <sheetFormatPr defaultRowHeight="15"/>
  <sheetData>
    <row r="1" spans="1:6" ht="30">
      <c r="A1" s="2" t="s">
        <v>0</v>
      </c>
      <c r="B1" s="2" t="s">
        <v>1</v>
      </c>
      <c r="C1" s="2" t="s">
        <v>11</v>
      </c>
      <c r="D1" s="2" t="s">
        <v>10</v>
      </c>
      <c r="E1" s="2" t="s">
        <v>9</v>
      </c>
      <c r="F1" s="2" t="s">
        <v>2</v>
      </c>
    </row>
    <row r="2" spans="1:6" ht="30">
      <c r="A2" s="3">
        <v>101</v>
      </c>
      <c r="B2" s="3" t="s">
        <v>4</v>
      </c>
      <c r="C2" s="3">
        <v>78</v>
      </c>
      <c r="D2" s="3">
        <v>85</v>
      </c>
      <c r="E2" s="3">
        <v>90</v>
      </c>
      <c r="F2" s="3">
        <f>SUM(C2,D2,E2)</f>
        <v>253</v>
      </c>
    </row>
    <row r="3" spans="1:6" ht="30">
      <c r="A3" s="3">
        <v>102</v>
      </c>
      <c r="B3" s="3" t="s">
        <v>5</v>
      </c>
      <c r="C3" s="3">
        <v>20</v>
      </c>
      <c r="D3" s="3">
        <v>14</v>
      </c>
      <c r="E3" s="3">
        <v>22</v>
      </c>
      <c r="F3" s="3">
        <f>SUM(C3,D3,E3)</f>
        <v>56</v>
      </c>
    </row>
    <row r="4" spans="1:6" ht="30">
      <c r="A4" s="3">
        <v>103</v>
      </c>
      <c r="B4" s="3" t="s">
        <v>6</v>
      </c>
      <c r="C4" s="3">
        <v>7</v>
      </c>
      <c r="D4" s="3">
        <v>3</v>
      </c>
      <c r="E4" s="3">
        <v>5</v>
      </c>
      <c r="F4" s="3">
        <f>SUM(C4,D4,E4)</f>
        <v>15</v>
      </c>
    </row>
    <row r="5" spans="1:6" ht="30">
      <c r="A5" s="3">
        <v>104</v>
      </c>
      <c r="B5" s="3" t="s">
        <v>7</v>
      </c>
      <c r="C5" s="3">
        <v>55</v>
      </c>
      <c r="D5" s="3">
        <v>60</v>
      </c>
      <c r="E5" s="3">
        <v>58</v>
      </c>
      <c r="F5" s="3">
        <f>SUM(C5,D5,E5)</f>
        <v>173</v>
      </c>
    </row>
    <row r="6" spans="1:6" ht="30">
      <c r="A6" s="3">
        <v>105</v>
      </c>
      <c r="B6" s="3" t="s">
        <v>8</v>
      </c>
      <c r="C6" s="3">
        <v>80</v>
      </c>
      <c r="D6" s="3">
        <v>75</v>
      </c>
      <c r="E6" s="3">
        <v>85</v>
      </c>
      <c r="F6" s="4">
        <f>SUM(C6,D6,E6)</f>
        <v>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Sheet4</vt:lpstr>
      <vt:lpstr>Sheet2</vt:lpstr>
      <vt:lpstr>Sheet3</vt:lpstr>
      <vt:lpstr>Sheet5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KING</dc:creator>
  <cp:lastModifiedBy>HP KING</cp:lastModifiedBy>
  <dcterms:created xsi:type="dcterms:W3CDTF">2026-09-21T12:48:31Z</dcterms:created>
  <dcterms:modified xsi:type="dcterms:W3CDTF">2026-09-21T16:52:33Z</dcterms:modified>
</cp:coreProperties>
</file>